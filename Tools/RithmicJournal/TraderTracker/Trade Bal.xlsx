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4"/>
    <sheet state="visible" name="Acct. 1 PA -APEX-1798-60" sheetId="2" r:id="rId5"/>
    <sheet state="visible" name="Notes" sheetId="3" r:id="rId6"/>
  </sheets>
  <definedNames/>
  <calcPr/>
</workbook>
</file>

<file path=xl/sharedStrings.xml><?xml version="1.0" encoding="utf-8"?>
<sst xmlns="http://schemas.openxmlformats.org/spreadsheetml/2006/main" count="93" uniqueCount="80">
  <si>
    <t xml:space="preserve">Account </t>
  </si>
  <si>
    <t>Balance</t>
  </si>
  <si>
    <t xml:space="preserve">Days Traded </t>
  </si>
  <si>
    <t>Days Traded since last payout</t>
  </si>
  <si>
    <t xml:space="preserve">Goal Balance </t>
  </si>
  <si>
    <t xml:space="preserve">Difference </t>
  </si>
  <si>
    <t>Largest Day</t>
  </si>
  <si>
    <t>30% Limit for 500</t>
  </si>
  <si>
    <t>30% Limit on Profit Goal Balance</t>
  </si>
  <si>
    <t>Notes on Account</t>
  </si>
  <si>
    <t xml:space="preserve">Withdrawal Notes </t>
  </si>
  <si>
    <t>Risk - Daily Profit Limit</t>
  </si>
  <si>
    <t>PA-APEX-1708-60</t>
  </si>
  <si>
    <t>n/a new payout</t>
  </si>
  <si>
    <t>from daily pnl</t>
  </si>
  <si>
    <t>insert manually first time.  second time and beyond, make a python code</t>
  </si>
  <si>
    <t>manual</t>
  </si>
  <si>
    <t>math formula</t>
  </si>
  <si>
    <t>scan worksheet of individual account</t>
  </si>
  <si>
    <t>fixed</t>
  </si>
  <si>
    <t>formula, based on column P and R and Balance</t>
  </si>
  <si>
    <t>PA-APEX-1708-61</t>
  </si>
  <si>
    <t>also conditional formatting</t>
  </si>
  <si>
    <t xml:space="preserve">based on color </t>
  </si>
  <si>
    <t>PA-APEX-1708-68</t>
  </si>
  <si>
    <t>PA-APEX-1708-69</t>
  </si>
  <si>
    <t>PA-APEX-1708-73</t>
  </si>
  <si>
    <t>PA-APEX-1708-74</t>
  </si>
  <si>
    <t>Legend</t>
  </si>
  <si>
    <t>PA-APEX-1708-75</t>
  </si>
  <si>
    <t xml:space="preserve">Rithmic Performance </t>
  </si>
  <si>
    <t>Rithmic Trader Dashboard</t>
  </si>
  <si>
    <t>PA-APEX-1708-76</t>
  </si>
  <si>
    <t>Quantower</t>
  </si>
  <si>
    <t>PA-APEX-1708-77</t>
  </si>
  <si>
    <t>PA-APEX-1708-78</t>
  </si>
  <si>
    <t>PA-APEX-1708-79</t>
  </si>
  <si>
    <t>PA-APEX-1708-80</t>
  </si>
  <si>
    <t>PA-APEX-1708-81</t>
  </si>
  <si>
    <t>PA-APEX-1708-82</t>
  </si>
  <si>
    <t>PA-APEX-1708-83</t>
  </si>
  <si>
    <t>Account:</t>
  </si>
  <si>
    <t>PA -APEX-1798-60</t>
  </si>
  <si>
    <t xml:space="preserve">Acct Profile:  </t>
  </si>
  <si>
    <t xml:space="preserve">50K </t>
  </si>
  <si>
    <t xml:space="preserve">Max Loss </t>
  </si>
  <si>
    <t>Daily High Profit</t>
  </si>
  <si>
    <t>formula from within this sheet</t>
  </si>
  <si>
    <t>Max Profit</t>
  </si>
  <si>
    <t>manual for mp for account</t>
  </si>
  <si>
    <t>Target Profit</t>
  </si>
  <si>
    <t xml:space="preserve">manual </t>
  </si>
  <si>
    <t>P&amp;L</t>
  </si>
  <si>
    <t>Total Commission</t>
  </si>
  <si>
    <t>Account Balance</t>
  </si>
  <si>
    <t>Auto Liquidate Value</t>
  </si>
  <si>
    <t>Win Count</t>
  </si>
  <si>
    <t>Loss Count</t>
  </si>
  <si>
    <t xml:space="preserve">Total Trades </t>
  </si>
  <si>
    <t>Avg Profit Wins</t>
  </si>
  <si>
    <t>Avg Profit Loss</t>
  </si>
  <si>
    <t>Shorts</t>
  </si>
  <si>
    <t xml:space="preserve">Longs </t>
  </si>
  <si>
    <t>Avg Time Held</t>
  </si>
  <si>
    <t xml:space="preserve">date from Rithmic Trader Dashboard name </t>
  </si>
  <si>
    <t xml:space="preserve">rithmic trader dashboard, </t>
  </si>
  <si>
    <t>rithmic trader dashboard pool</t>
  </si>
  <si>
    <t xml:space="preserve">rithmic trader dashboard pool </t>
  </si>
  <si>
    <t>rithmic performance</t>
  </si>
  <si>
    <t xml:space="preserve">rithmic performance </t>
  </si>
  <si>
    <t xml:space="preserve">Quantower daily trades </t>
  </si>
  <si>
    <t>QDT</t>
  </si>
  <si>
    <t>Extraction done manually</t>
  </si>
  <si>
    <t>Rithmic</t>
  </si>
  <si>
    <t xml:space="preserve">Trader Performance and Daily PNL Dashboard </t>
  </si>
  <si>
    <t>Trades export to CSV to a specified folder</t>
  </si>
  <si>
    <t>How to use this system</t>
  </si>
  <si>
    <t>1. Export CSV files to correct folders for python to read</t>
  </si>
  <si>
    <t xml:space="preserve">2.  Created Python program that reads files in the folders and allocates pertinent data to correct cells </t>
  </si>
  <si>
    <t>3. Run python program at 5pm everyday to fill in data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</si>
</sst>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  <fill>
      <patternFill patternType="solid">
        <fgColor rgb="FF6AA84F"/>
        <bgColor rgb="FF6AA84F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1" numFmtId="0" xfId="0" applyAlignment="1" applyFont="1">
      <alignment shrinkToFit="0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3" fontId="1" numFmtId="0" xfId="0" applyAlignment="1" applyFill="1" applyFont="1">
      <alignment readingOrder="0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horizontal="right" vertical="bottom"/>
    </xf>
    <xf borderId="0" fillId="4" fontId="2" numFmtId="0" xfId="0" applyAlignment="1" applyFill="1" applyFont="1">
      <alignment horizontal="right" readingOrder="0" vertical="bottom"/>
    </xf>
    <xf borderId="0" fillId="5" fontId="2" numFmtId="0" xfId="0" applyAlignment="1" applyFill="1" applyFont="1">
      <alignment horizontal="right" readingOrder="0" vertical="bottom"/>
    </xf>
    <xf borderId="0" fillId="6" fontId="2" numFmtId="0" xfId="0" applyAlignment="1" applyFill="1" applyFont="1">
      <alignment horizontal="right" readingOrder="0" vertical="bottom"/>
    </xf>
    <xf borderId="0" fillId="7" fontId="2" numFmtId="0" xfId="0" applyAlignment="1" applyFill="1" applyFont="1">
      <alignment readingOrder="0" vertical="bottom"/>
    </xf>
    <xf borderId="0" fillId="7" fontId="2" numFmtId="0" xfId="0" applyAlignment="1" applyFont="1">
      <alignment vertical="bottom"/>
    </xf>
    <xf borderId="0" fillId="3" fontId="2" numFmtId="0" xfId="0" applyAlignment="1" applyFont="1">
      <alignment horizontal="right" readingOrder="0" vertical="bottom"/>
    </xf>
    <xf borderId="0" fillId="8" fontId="2" numFmtId="0" xfId="0" applyAlignment="1" applyFill="1" applyFont="1">
      <alignment horizontal="right" readingOrder="0" vertical="bottom"/>
    </xf>
    <xf borderId="0" fillId="0" fontId="2" numFmtId="0" xfId="0" applyAlignment="1" applyFont="1">
      <alignment vertical="bottom"/>
    </xf>
    <xf borderId="0" fillId="6" fontId="2" numFmtId="0" xfId="0" applyAlignment="1" applyFont="1">
      <alignment readingOrder="0" vertical="bottom"/>
    </xf>
    <xf borderId="0" fillId="0" fontId="2" numFmtId="164" xfId="0" applyAlignment="1" applyFont="1" applyNumberFormat="1">
      <alignment horizontal="right" vertical="bottom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2" pivot="0" name="Dashboard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2:A30" displayName="Table_1" name="Table_1" id="1">
  <tableColumns count="1">
    <tableColumn name="Column1" id="1"/>
  </tableColumns>
  <tableStyleInfo name="Dashboard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0"/>
    <col customWidth="1" min="7" max="7" width="23.38"/>
    <col customWidth="1" min="8" max="8" width="20.5"/>
    <col customWidth="1" min="10" max="10" width="11.5"/>
    <col customWidth="1" min="12" max="12" width="10.75"/>
    <col customWidth="1" min="14" max="14" width="28.13"/>
    <col customWidth="1" min="18" max="18" width="25.5"/>
    <col customWidth="1" min="25" max="25" width="36.38"/>
  </cols>
  <sheetData>
    <row r="1">
      <c r="A1" s="1" t="s">
        <v>0</v>
      </c>
      <c r="B1" s="2"/>
      <c r="C1" s="1" t="s">
        <v>1</v>
      </c>
      <c r="D1" s="2"/>
      <c r="E1" s="1" t="s">
        <v>2</v>
      </c>
      <c r="F1" s="2"/>
      <c r="G1" s="1" t="s">
        <v>3</v>
      </c>
      <c r="H1" s="2"/>
      <c r="I1" s="2"/>
      <c r="J1" s="1" t="s">
        <v>4</v>
      </c>
      <c r="K1" s="2"/>
      <c r="L1" s="1" t="s">
        <v>5</v>
      </c>
      <c r="M1" s="2"/>
      <c r="N1" s="1" t="s">
        <v>6</v>
      </c>
      <c r="O1" s="2"/>
      <c r="P1" s="1" t="s">
        <v>7</v>
      </c>
      <c r="Q1" s="2"/>
      <c r="R1" s="1" t="s">
        <v>8</v>
      </c>
      <c r="S1" s="2"/>
      <c r="T1" s="2"/>
      <c r="U1" s="1" t="s">
        <v>9</v>
      </c>
      <c r="V1" s="2"/>
      <c r="W1" s="1" t="s">
        <v>10</v>
      </c>
      <c r="X1" s="2"/>
      <c r="Y1" s="1" t="s">
        <v>11</v>
      </c>
      <c r="Z1" s="1"/>
    </row>
    <row r="2">
      <c r="A2" s="3" t="s">
        <v>12</v>
      </c>
      <c r="C2" s="4">
        <v>52353.0</v>
      </c>
      <c r="E2" s="4">
        <v>19.0</v>
      </c>
      <c r="G2" s="4">
        <v>2.0</v>
      </c>
      <c r="J2" s="4">
        <v>55200.0</v>
      </c>
      <c r="L2" s="5">
        <f>J2-C2</f>
        <v>2847</v>
      </c>
      <c r="N2" s="4" t="s">
        <v>13</v>
      </c>
      <c r="P2" s="4">
        <v>150.0</v>
      </c>
      <c r="R2" s="5">
        <f>2600*0.3</f>
        <v>780</v>
      </c>
    </row>
    <row r="3">
      <c r="A3" s="3"/>
      <c r="C3" s="6" t="s">
        <v>14</v>
      </c>
      <c r="E3" s="4" t="s">
        <v>15</v>
      </c>
      <c r="G3" s="4"/>
      <c r="J3" s="4" t="s">
        <v>16</v>
      </c>
      <c r="L3" s="4" t="s">
        <v>17</v>
      </c>
      <c r="N3" s="4" t="s">
        <v>18</v>
      </c>
      <c r="P3" s="4" t="s">
        <v>19</v>
      </c>
      <c r="R3" s="4" t="s">
        <v>16</v>
      </c>
      <c r="U3" s="4" t="s">
        <v>16</v>
      </c>
      <c r="W3" s="4" t="s">
        <v>16</v>
      </c>
      <c r="Y3" s="4" t="s">
        <v>20</v>
      </c>
    </row>
    <row r="4">
      <c r="A4" s="3" t="s">
        <v>21</v>
      </c>
      <c r="L4" s="4" t="s">
        <v>22</v>
      </c>
    </row>
    <row r="5">
      <c r="A5" s="3"/>
      <c r="L5" s="4" t="s">
        <v>23</v>
      </c>
    </row>
    <row r="6">
      <c r="A6" s="3" t="s">
        <v>24</v>
      </c>
    </row>
    <row r="7">
      <c r="A7" s="3"/>
    </row>
    <row r="8">
      <c r="A8" s="3" t="s">
        <v>25</v>
      </c>
    </row>
    <row r="9">
      <c r="A9" s="3"/>
    </row>
    <row r="10">
      <c r="A10" s="3" t="s">
        <v>26</v>
      </c>
    </row>
    <row r="11">
      <c r="A11" s="3"/>
    </row>
    <row r="12">
      <c r="A12" s="3" t="s">
        <v>27</v>
      </c>
      <c r="H12" s="7" t="s">
        <v>28</v>
      </c>
    </row>
    <row r="13">
      <c r="A13" s="3"/>
      <c r="H13" s="8"/>
    </row>
    <row r="14">
      <c r="A14" s="3" t="s">
        <v>29</v>
      </c>
      <c r="H14" s="9" t="s">
        <v>30</v>
      </c>
    </row>
    <row r="15">
      <c r="A15" s="3"/>
      <c r="H15" s="10" t="s">
        <v>31</v>
      </c>
    </row>
    <row r="16">
      <c r="A16" s="3" t="s">
        <v>32</v>
      </c>
      <c r="H16" s="8"/>
    </row>
    <row r="17">
      <c r="A17" s="3"/>
      <c r="H17" s="11" t="s">
        <v>33</v>
      </c>
    </row>
    <row r="18">
      <c r="A18" s="3" t="s">
        <v>34</v>
      </c>
    </row>
    <row r="19">
      <c r="A19" s="3"/>
    </row>
    <row r="20">
      <c r="A20" s="3" t="s">
        <v>35</v>
      </c>
    </row>
    <row r="21">
      <c r="A21" s="3"/>
    </row>
    <row r="22">
      <c r="A22" s="3" t="s">
        <v>36</v>
      </c>
    </row>
    <row r="23">
      <c r="A23" s="3"/>
    </row>
    <row r="24">
      <c r="A24" s="3" t="s">
        <v>37</v>
      </c>
    </row>
    <row r="25">
      <c r="A25" s="3"/>
    </row>
    <row r="26">
      <c r="A26" s="3" t="s">
        <v>38</v>
      </c>
    </row>
    <row r="27">
      <c r="A27" s="3"/>
    </row>
    <row r="28">
      <c r="A28" s="3" t="s">
        <v>39</v>
      </c>
    </row>
    <row r="29">
      <c r="A29" s="3"/>
    </row>
    <row r="30">
      <c r="A30" s="3" t="s">
        <v>40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2" max="2" width="16.5"/>
    <col customWidth="1" min="3" max="3" width="14.13"/>
    <col customWidth="1" min="4" max="4" width="13.5"/>
    <col customWidth="1" min="5" max="5" width="16.25"/>
    <col customWidth="1" min="7" max="8" width="15.75"/>
    <col customWidth="1" min="9" max="9" width="20.5"/>
    <col customWidth="1" min="10" max="10" width="16.13"/>
    <col customWidth="1" min="12" max="12" width="18.63"/>
  </cols>
  <sheetData>
    <row r="1">
      <c r="A1" s="12" t="s">
        <v>41</v>
      </c>
      <c r="B1" s="12" t="s">
        <v>42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>
      <c r="A2" s="12" t="s">
        <v>43</v>
      </c>
      <c r="B2" s="12" t="s">
        <v>44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>
      <c r="A3" s="12" t="s">
        <v>45</v>
      </c>
      <c r="B3" s="12">
        <v>1150.0</v>
      </c>
      <c r="C3" s="13"/>
      <c r="D3" s="12" t="s">
        <v>46</v>
      </c>
      <c r="E3" s="12" t="s">
        <v>47</v>
      </c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s="12" t="s">
        <v>48</v>
      </c>
      <c r="B4" s="12" t="s">
        <v>49</v>
      </c>
      <c r="C4" s="13"/>
      <c r="D4" s="12" t="s">
        <v>50</v>
      </c>
      <c r="E4" s="12" t="s">
        <v>51</v>
      </c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>
      <c r="A6" s="13"/>
      <c r="B6" s="12" t="s">
        <v>52</v>
      </c>
      <c r="C6" s="12" t="s">
        <v>53</v>
      </c>
      <c r="D6" s="12" t="s">
        <v>54</v>
      </c>
      <c r="E6" s="12" t="s">
        <v>55</v>
      </c>
      <c r="F6" s="13"/>
      <c r="G6" s="12" t="s">
        <v>56</v>
      </c>
      <c r="H6" s="12" t="s">
        <v>57</v>
      </c>
      <c r="I6" s="13"/>
      <c r="J6" s="12" t="s">
        <v>58</v>
      </c>
      <c r="K6" s="13"/>
      <c r="L6" s="12" t="s">
        <v>59</v>
      </c>
      <c r="M6" s="13"/>
      <c r="N6" s="12" t="s">
        <v>60</v>
      </c>
      <c r="O6" s="13"/>
      <c r="P6" s="12" t="s">
        <v>61</v>
      </c>
      <c r="Q6" s="13"/>
      <c r="R6" s="12" t="s">
        <v>62</v>
      </c>
      <c r="S6" s="13"/>
      <c r="T6" s="12" t="s">
        <v>63</v>
      </c>
      <c r="U6" s="13"/>
      <c r="V6" s="13"/>
      <c r="W6" s="13"/>
      <c r="X6" s="13"/>
      <c r="Y6" s="13"/>
      <c r="Z6" s="13"/>
    </row>
    <row r="7">
      <c r="A7" s="14" t="s">
        <v>64</v>
      </c>
      <c r="B7" s="14" t="s">
        <v>65</v>
      </c>
      <c r="C7" s="14" t="s">
        <v>66</v>
      </c>
      <c r="D7" s="14" t="s">
        <v>66</v>
      </c>
      <c r="E7" s="14" t="s">
        <v>67</v>
      </c>
      <c r="F7" s="8"/>
      <c r="G7" s="15" t="s">
        <v>68</v>
      </c>
      <c r="H7" s="15" t="s">
        <v>68</v>
      </c>
      <c r="I7" s="8"/>
      <c r="J7" s="15" t="s">
        <v>69</v>
      </c>
      <c r="K7" s="8"/>
      <c r="L7" s="11" t="s">
        <v>70</v>
      </c>
      <c r="M7" s="16"/>
      <c r="N7" s="17" t="s">
        <v>71</v>
      </c>
      <c r="O7" s="16"/>
      <c r="P7" s="17" t="s">
        <v>71</v>
      </c>
      <c r="Q7" s="16"/>
      <c r="R7" s="17" t="s">
        <v>71</v>
      </c>
      <c r="S7" s="16"/>
      <c r="T7" s="17" t="s">
        <v>71</v>
      </c>
      <c r="U7" s="16"/>
      <c r="V7" s="16"/>
      <c r="W7" s="16"/>
      <c r="X7" s="16"/>
      <c r="Y7" s="16"/>
      <c r="Z7" s="16"/>
    </row>
    <row r="8">
      <c r="A8" s="18">
        <v>45700.0</v>
      </c>
      <c r="B8" s="8">
        <v>8640.78</v>
      </c>
      <c r="C8" s="8">
        <v>0.0</v>
      </c>
      <c r="D8" s="8">
        <v>0.0</v>
      </c>
      <c r="E8" s="8">
        <v>-75.0</v>
      </c>
      <c r="F8" s="8"/>
      <c r="G8" s="8"/>
      <c r="H8" s="8"/>
      <c r="I8" s="8"/>
      <c r="J8" s="8"/>
      <c r="K8" s="8"/>
      <c r="L8" s="8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>
      <c r="A9" s="18">
        <v>45701.0</v>
      </c>
      <c r="B9" s="8">
        <v>8565.78</v>
      </c>
      <c r="C9" s="8">
        <v>393.25</v>
      </c>
      <c r="D9" s="8">
        <v>0.0</v>
      </c>
      <c r="E9" s="8">
        <v>-71.37</v>
      </c>
      <c r="F9" s="8"/>
      <c r="G9" s="8"/>
      <c r="H9" s="8"/>
      <c r="I9" s="8"/>
      <c r="J9" s="8"/>
      <c r="K9" s="8"/>
      <c r="L9" s="8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>
      <c r="A10" s="18">
        <v>45702.0</v>
      </c>
      <c r="B10" s="8">
        <v>8887.66</v>
      </c>
      <c r="C10" s="8">
        <v>0.0</v>
      </c>
      <c r="D10" s="8">
        <v>0.0</v>
      </c>
      <c r="E10" s="8">
        <v>56.73</v>
      </c>
      <c r="F10" s="8"/>
      <c r="G10" s="8"/>
      <c r="H10" s="8"/>
      <c r="I10" s="8"/>
      <c r="J10" s="8"/>
      <c r="K10" s="8"/>
      <c r="L10" s="8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>
      <c r="A11" s="18">
        <v>45703.0</v>
      </c>
      <c r="B11" s="8">
        <v>8944.39</v>
      </c>
      <c r="C11" s="8">
        <v>0.0</v>
      </c>
      <c r="D11" s="8">
        <v>155.23</v>
      </c>
      <c r="E11" s="8">
        <v>319.54</v>
      </c>
      <c r="F11" s="8"/>
      <c r="G11" s="8"/>
      <c r="H11" s="8"/>
      <c r="I11" s="7" t="s">
        <v>28</v>
      </c>
      <c r="J11" s="8"/>
      <c r="K11" s="8"/>
      <c r="L11" s="8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>
      <c r="A12" s="18">
        <v>45704.0</v>
      </c>
      <c r="B12" s="8">
        <v>9108.7</v>
      </c>
      <c r="C12" s="8">
        <v>0.0</v>
      </c>
      <c r="D12" s="8">
        <v>0.0</v>
      </c>
      <c r="E12" s="8">
        <v>-138.0</v>
      </c>
      <c r="F12" s="8"/>
      <c r="G12" s="8"/>
      <c r="H12" s="8"/>
      <c r="I12" s="8"/>
      <c r="J12" s="8"/>
      <c r="K12" s="8"/>
      <c r="L12" s="8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>
      <c r="A13" s="18">
        <v>45705.0</v>
      </c>
      <c r="B13" s="8">
        <v>8970.7</v>
      </c>
      <c r="C13" s="8">
        <v>0.0</v>
      </c>
      <c r="D13" s="8">
        <v>0.0</v>
      </c>
      <c r="E13" s="8">
        <v>-118.15</v>
      </c>
      <c r="F13" s="8"/>
      <c r="G13" s="8"/>
      <c r="H13" s="8"/>
      <c r="I13" s="9" t="s">
        <v>30</v>
      </c>
      <c r="J13" s="8"/>
      <c r="K13" s="8"/>
      <c r="L13" s="8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>
      <c r="A14" s="18">
        <v>45706.0</v>
      </c>
      <c r="B14" s="8">
        <v>8852.55</v>
      </c>
      <c r="C14" s="8">
        <v>0.0</v>
      </c>
      <c r="D14" s="8">
        <v>253.34</v>
      </c>
      <c r="E14" s="8">
        <v>127.14</v>
      </c>
      <c r="F14" s="8"/>
      <c r="G14" s="8"/>
      <c r="H14" s="8"/>
      <c r="I14" s="10" t="s">
        <v>31</v>
      </c>
      <c r="J14" s="8"/>
      <c r="K14" s="8"/>
      <c r="L14" s="8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>
      <c r="A15" s="18">
        <v>45707.0</v>
      </c>
      <c r="B15" s="8">
        <v>8726.35</v>
      </c>
      <c r="C15" s="8">
        <v>0.0</v>
      </c>
      <c r="D15" s="8">
        <v>0.0</v>
      </c>
      <c r="E15" s="8">
        <v>270.92</v>
      </c>
      <c r="F15" s="8"/>
      <c r="G15" s="8"/>
      <c r="H15" s="8"/>
      <c r="I15" s="8"/>
      <c r="J15" s="8"/>
      <c r="K15" s="8"/>
      <c r="L15" s="8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>
      <c r="A16" s="18">
        <v>45708.0</v>
      </c>
      <c r="B16" s="8">
        <v>8997.27</v>
      </c>
      <c r="C16" s="8">
        <v>156.58</v>
      </c>
      <c r="D16" s="8">
        <v>0.0</v>
      </c>
      <c r="E16" s="8">
        <v>-175.66</v>
      </c>
      <c r="F16" s="8"/>
      <c r="G16" s="8"/>
      <c r="H16" s="8"/>
      <c r="I16" s="11" t="s">
        <v>33</v>
      </c>
      <c r="J16" s="8"/>
      <c r="K16" s="8"/>
      <c r="L16" s="8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>
      <c r="A17" s="18">
        <v>45709.0</v>
      </c>
      <c r="B17" s="8">
        <v>8978.19</v>
      </c>
      <c r="C17" s="8">
        <v>0.0</v>
      </c>
      <c r="D17" s="8">
        <v>0.0</v>
      </c>
      <c r="E17" s="8">
        <v>252.73</v>
      </c>
      <c r="F17" s="8"/>
      <c r="G17" s="8"/>
      <c r="H17" s="8"/>
      <c r="I17" s="8"/>
      <c r="J17" s="8"/>
      <c r="K17" s="8"/>
      <c r="L17" s="8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>
      <c r="A18" s="18">
        <v>45710.0</v>
      </c>
      <c r="B18" s="8">
        <v>9230.92</v>
      </c>
      <c r="C18" s="8">
        <v>0.0</v>
      </c>
      <c r="D18" s="8">
        <v>0.0</v>
      </c>
      <c r="E18" s="8">
        <v>199.42</v>
      </c>
      <c r="F18" s="8"/>
      <c r="G18" s="8"/>
      <c r="H18" s="8"/>
      <c r="I18" s="8"/>
      <c r="J18" s="8"/>
      <c r="K18" s="8"/>
      <c r="L18" s="8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>
      <c r="A19" s="18">
        <v>45711.0</v>
      </c>
      <c r="B19" s="8">
        <v>9430.34</v>
      </c>
      <c r="C19" s="8">
        <v>0.0</v>
      </c>
      <c r="D19" s="8">
        <v>0.0</v>
      </c>
      <c r="E19" s="8">
        <v>13.69</v>
      </c>
      <c r="F19" s="8"/>
      <c r="G19" s="8"/>
      <c r="H19" s="8"/>
      <c r="I19" s="8"/>
      <c r="J19" s="8"/>
      <c r="K19" s="8"/>
      <c r="L19" s="8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>
      <c r="A20" s="18">
        <v>45712.0</v>
      </c>
      <c r="B20" s="8">
        <v>9444.03</v>
      </c>
      <c r="C20" s="8">
        <v>284.1</v>
      </c>
      <c r="D20" s="8">
        <v>0.0</v>
      </c>
      <c r="E20" s="8">
        <v>-81.06</v>
      </c>
      <c r="F20" s="8"/>
      <c r="G20" s="8"/>
      <c r="H20" s="8"/>
      <c r="I20" s="8"/>
      <c r="J20" s="8"/>
      <c r="K20" s="8"/>
      <c r="L20" s="8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>
      <c r="A21" s="18">
        <v>45713.0</v>
      </c>
      <c r="B21" s="8">
        <v>9647.07</v>
      </c>
      <c r="C21" s="8">
        <v>0.0</v>
      </c>
      <c r="D21" s="8">
        <v>0.0</v>
      </c>
      <c r="E21" s="8">
        <v>131.22</v>
      </c>
      <c r="F21" s="8"/>
      <c r="G21" s="8"/>
      <c r="H21" s="8"/>
      <c r="I21" s="8"/>
      <c r="J21" s="8"/>
      <c r="K21" s="8"/>
      <c r="L21" s="8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>
      <c r="A22" s="18">
        <v>45714.0</v>
      </c>
      <c r="B22" s="8">
        <v>9778.29</v>
      </c>
      <c r="C22" s="8">
        <v>0.0</v>
      </c>
      <c r="D22" s="8">
        <v>0.0</v>
      </c>
      <c r="E22" s="8">
        <v>-35.55</v>
      </c>
      <c r="F22" s="8"/>
      <c r="G22" s="8"/>
      <c r="H22" s="8"/>
      <c r="I22" s="8"/>
      <c r="J22" s="8"/>
      <c r="K22" s="8"/>
      <c r="L22" s="8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>
      <c r="A23" s="18">
        <v>45715.0</v>
      </c>
      <c r="B23" s="8">
        <v>9742.74</v>
      </c>
      <c r="C23" s="8">
        <v>0.0</v>
      </c>
      <c r="D23" s="8">
        <v>0.0</v>
      </c>
      <c r="E23" s="8">
        <v>-185.06</v>
      </c>
      <c r="F23" s="8"/>
      <c r="G23" s="8"/>
      <c r="H23" s="8"/>
      <c r="I23" s="8"/>
      <c r="J23" s="8"/>
      <c r="K23" s="8"/>
      <c r="L23" s="8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>
      <c r="A24" s="18">
        <v>45716.0</v>
      </c>
      <c r="B24" s="8">
        <v>9557.68</v>
      </c>
      <c r="C24" s="8">
        <v>0.0</v>
      </c>
      <c r="D24" s="8">
        <v>0.0</v>
      </c>
      <c r="E24" s="8">
        <v>-13.03</v>
      </c>
      <c r="F24" s="8"/>
      <c r="G24" s="8"/>
      <c r="H24" s="8"/>
      <c r="I24" s="8"/>
      <c r="J24" s="8"/>
      <c r="K24" s="8"/>
      <c r="L24" s="8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>
      <c r="A25" s="18">
        <v>45717.0</v>
      </c>
      <c r="B25" s="8">
        <v>9544.65</v>
      </c>
      <c r="C25" s="8">
        <v>0.0</v>
      </c>
      <c r="D25" s="8">
        <v>0.0</v>
      </c>
      <c r="E25" s="8">
        <v>213.91</v>
      </c>
      <c r="F25" s="8"/>
      <c r="G25" s="8"/>
      <c r="H25" s="8"/>
      <c r="I25" s="8"/>
      <c r="J25" s="8"/>
      <c r="K25" s="8"/>
      <c r="L25" s="8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>
      <c r="A26" s="18">
        <v>45718.0</v>
      </c>
      <c r="B26" s="8">
        <v>9758.56</v>
      </c>
      <c r="C26" s="8">
        <v>428.75</v>
      </c>
      <c r="D26" s="8">
        <v>0.0</v>
      </c>
      <c r="E26" s="8">
        <v>-136.15</v>
      </c>
      <c r="F26" s="8"/>
      <c r="G26" s="8"/>
      <c r="H26" s="8"/>
      <c r="I26" s="8"/>
      <c r="J26" s="8"/>
      <c r="K26" s="8"/>
      <c r="L26" s="8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>
      <c r="A27" s="18">
        <v>45719.0</v>
      </c>
      <c r="B27" s="8">
        <v>10051.16</v>
      </c>
      <c r="C27" s="8">
        <v>0.0</v>
      </c>
      <c r="D27" s="8">
        <v>0.0</v>
      </c>
      <c r="E27" s="8">
        <v>-130.87</v>
      </c>
      <c r="F27" s="8"/>
      <c r="G27" s="8"/>
      <c r="H27" s="8"/>
      <c r="I27" s="8"/>
      <c r="J27" s="8"/>
      <c r="K27" s="8"/>
      <c r="L27" s="8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>
      <c r="A28" s="18">
        <v>45720.0</v>
      </c>
      <c r="B28" s="8">
        <v>9920.29</v>
      </c>
      <c r="C28" s="8">
        <v>389.32</v>
      </c>
      <c r="D28" s="8">
        <v>0.0</v>
      </c>
      <c r="E28" s="8">
        <v>-14.19</v>
      </c>
      <c r="F28" s="8"/>
      <c r="G28" s="8"/>
      <c r="H28" s="8"/>
      <c r="I28" s="8"/>
      <c r="J28" s="8"/>
      <c r="K28" s="8"/>
      <c r="L28" s="8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>
      <c r="A29" s="18">
        <v>45721.0</v>
      </c>
      <c r="B29" s="8">
        <v>10295.42</v>
      </c>
      <c r="C29" s="8">
        <v>123.35</v>
      </c>
      <c r="D29" s="8">
        <v>0.0</v>
      </c>
      <c r="E29" s="8">
        <v>340.17</v>
      </c>
      <c r="F29" s="8"/>
      <c r="G29" s="8"/>
      <c r="H29" s="8"/>
      <c r="I29" s="8"/>
      <c r="J29" s="8"/>
      <c r="K29" s="8"/>
      <c r="L29" s="8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>
      <c r="A30" s="18">
        <v>45722.0</v>
      </c>
      <c r="B30" s="8">
        <v>10758.94</v>
      </c>
      <c r="C30" s="8">
        <v>0.0</v>
      </c>
      <c r="D30" s="8">
        <v>0.0</v>
      </c>
      <c r="E30" s="8">
        <v>188.15</v>
      </c>
      <c r="F30" s="8"/>
      <c r="G30" s="8"/>
      <c r="H30" s="8"/>
      <c r="I30" s="8"/>
      <c r="J30" s="8"/>
      <c r="K30" s="8"/>
      <c r="L30" s="8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>
      <c r="A31" s="18">
        <v>45723.0</v>
      </c>
      <c r="B31" s="8">
        <v>10947.09</v>
      </c>
      <c r="C31" s="8">
        <v>370.14</v>
      </c>
      <c r="D31" s="8">
        <v>0.0</v>
      </c>
      <c r="E31" s="8">
        <v>226.31</v>
      </c>
      <c r="F31" s="8"/>
      <c r="G31" s="8"/>
      <c r="H31" s="8"/>
      <c r="I31" s="8"/>
      <c r="J31" s="8"/>
      <c r="K31" s="8"/>
      <c r="L31" s="8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>
      <c r="A32" s="18">
        <v>45724.0</v>
      </c>
      <c r="B32" s="8">
        <v>11543.54</v>
      </c>
      <c r="C32" s="8">
        <v>0.0</v>
      </c>
      <c r="D32" s="8">
        <v>0.0</v>
      </c>
      <c r="E32" s="8">
        <v>-105.1</v>
      </c>
      <c r="F32" s="8"/>
      <c r="G32" s="8"/>
      <c r="H32" s="8"/>
      <c r="I32" s="8"/>
      <c r="J32" s="8"/>
      <c r="K32" s="8"/>
      <c r="L32" s="8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>
      <c r="A33" s="18">
        <v>45725.0</v>
      </c>
      <c r="B33" s="8">
        <v>11438.44</v>
      </c>
      <c r="C33" s="8">
        <v>0.0</v>
      </c>
      <c r="D33" s="8">
        <v>0.0</v>
      </c>
      <c r="E33" s="8">
        <v>-138.4</v>
      </c>
      <c r="F33" s="8"/>
      <c r="G33" s="8"/>
      <c r="H33" s="8"/>
      <c r="I33" s="8"/>
      <c r="J33" s="8"/>
      <c r="K33" s="8"/>
      <c r="L33" s="8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>
      <c r="A34" s="18">
        <v>45726.0</v>
      </c>
      <c r="B34" s="8">
        <v>11300.04</v>
      </c>
      <c r="C34" s="8">
        <v>0.0</v>
      </c>
      <c r="D34" s="8">
        <v>0.0</v>
      </c>
      <c r="E34" s="8">
        <v>172.26</v>
      </c>
      <c r="F34" s="8"/>
      <c r="G34" s="8"/>
      <c r="H34" s="8"/>
      <c r="I34" s="8"/>
      <c r="J34" s="8"/>
      <c r="K34" s="8"/>
      <c r="L34" s="8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>
      <c r="A35" s="18">
        <v>45727.0</v>
      </c>
      <c r="B35" s="8">
        <v>11472.3</v>
      </c>
      <c r="C35" s="8">
        <v>0.0</v>
      </c>
      <c r="D35" s="8">
        <v>0.0</v>
      </c>
      <c r="E35" s="8">
        <v>-32.65</v>
      </c>
      <c r="F35" s="8"/>
      <c r="G35" s="8"/>
      <c r="H35" s="8"/>
      <c r="I35" s="8"/>
      <c r="J35" s="8"/>
      <c r="K35" s="8"/>
      <c r="L35" s="8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>
      <c r="A36" s="18">
        <v>45728.0</v>
      </c>
      <c r="B36" s="8">
        <v>11439.65</v>
      </c>
      <c r="C36" s="8">
        <v>0.0</v>
      </c>
      <c r="D36" s="8">
        <v>0.0</v>
      </c>
      <c r="E36" s="8">
        <v>351.84</v>
      </c>
      <c r="F36" s="8"/>
      <c r="G36" s="8"/>
      <c r="H36" s="8"/>
      <c r="I36" s="8"/>
      <c r="J36" s="8"/>
      <c r="K36" s="8"/>
      <c r="L36" s="8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  <row r="1001">
      <c r="A1001" s="16"/>
      <c r="B1001" s="16"/>
      <c r="C1001" s="16"/>
      <c r="D1001" s="16"/>
      <c r="E1001" s="16"/>
      <c r="F1001" s="16"/>
      <c r="G1001" s="16"/>
      <c r="H1001" s="16"/>
      <c r="I1001" s="16"/>
      <c r="J1001" s="16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16"/>
    </row>
    <row r="1002">
      <c r="A1002" s="16"/>
      <c r="B1002" s="16"/>
      <c r="C1002" s="16"/>
      <c r="D1002" s="16"/>
      <c r="E1002" s="16"/>
      <c r="F1002" s="16"/>
      <c r="G1002" s="16"/>
      <c r="H1002" s="16"/>
      <c r="I1002" s="16"/>
      <c r="J1002" s="16"/>
      <c r="K1002" s="16"/>
      <c r="L1002" s="16"/>
      <c r="M1002" s="16"/>
      <c r="N1002" s="16"/>
      <c r="O1002" s="16"/>
      <c r="P1002" s="16"/>
      <c r="Q1002" s="16"/>
      <c r="R1002" s="16"/>
      <c r="S1002" s="16"/>
      <c r="T1002" s="16"/>
      <c r="U1002" s="16"/>
      <c r="V1002" s="16"/>
      <c r="W1002" s="16"/>
      <c r="X1002" s="16"/>
      <c r="Y1002" s="16"/>
      <c r="Z1002" s="16"/>
    </row>
    <row r="1003">
      <c r="A1003" s="16"/>
      <c r="B1003" s="16"/>
      <c r="C1003" s="16"/>
      <c r="D1003" s="16"/>
      <c r="E1003" s="16"/>
      <c r="F1003" s="16"/>
      <c r="G1003" s="16"/>
      <c r="H1003" s="16"/>
      <c r="I1003" s="16"/>
      <c r="J1003" s="16"/>
      <c r="K1003" s="16"/>
      <c r="L1003" s="16"/>
      <c r="M1003" s="16"/>
      <c r="N1003" s="16"/>
      <c r="O1003" s="16"/>
      <c r="P1003" s="16"/>
      <c r="Q1003" s="16"/>
      <c r="R1003" s="16"/>
      <c r="S1003" s="16"/>
      <c r="T1003" s="16"/>
      <c r="U1003" s="16"/>
      <c r="V1003" s="16"/>
      <c r="W1003" s="16"/>
      <c r="X1003" s="16"/>
      <c r="Y1003" s="16"/>
      <c r="Z1003" s="16"/>
    </row>
    <row r="1004">
      <c r="A1004" s="16"/>
      <c r="B1004" s="16"/>
      <c r="C1004" s="16"/>
      <c r="D1004" s="16"/>
      <c r="E1004" s="16"/>
      <c r="F1004" s="16"/>
      <c r="G1004" s="16"/>
      <c r="H1004" s="16"/>
      <c r="I1004" s="16"/>
      <c r="J1004" s="16"/>
      <c r="K1004" s="16"/>
      <c r="L1004" s="16"/>
      <c r="M1004" s="16"/>
      <c r="N1004" s="16"/>
      <c r="O1004" s="16"/>
      <c r="P1004" s="16"/>
      <c r="Q1004" s="16"/>
      <c r="R1004" s="16"/>
      <c r="S1004" s="16"/>
      <c r="T1004" s="16"/>
      <c r="U1004" s="16"/>
      <c r="V1004" s="16"/>
      <c r="W1004" s="16"/>
      <c r="X1004" s="16"/>
      <c r="Y1004" s="16"/>
      <c r="Z1004" s="16"/>
    </row>
    <row r="1005">
      <c r="A1005" s="16"/>
      <c r="B1005" s="16"/>
      <c r="C1005" s="16"/>
      <c r="D1005" s="16"/>
      <c r="E1005" s="16"/>
      <c r="F1005" s="16"/>
      <c r="G1005" s="16"/>
      <c r="H1005" s="16"/>
      <c r="I1005" s="16"/>
      <c r="J1005" s="16"/>
      <c r="K1005" s="16"/>
      <c r="L1005" s="16"/>
      <c r="M1005" s="16"/>
      <c r="N1005" s="16"/>
      <c r="O1005" s="16"/>
      <c r="P1005" s="16"/>
      <c r="Q1005" s="16"/>
      <c r="R1005" s="16"/>
      <c r="S1005" s="16"/>
      <c r="T1005" s="16"/>
      <c r="U1005" s="16"/>
      <c r="V1005" s="16"/>
      <c r="W1005" s="16"/>
      <c r="X1005" s="16"/>
      <c r="Y1005" s="16"/>
      <c r="Z1005" s="1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4" t="s">
        <v>72</v>
      </c>
    </row>
    <row r="4">
      <c r="B4" s="4" t="s">
        <v>73</v>
      </c>
    </row>
    <row r="5">
      <c r="C5" s="4" t="s">
        <v>74</v>
      </c>
    </row>
    <row r="8">
      <c r="B8" s="4" t="s">
        <v>33</v>
      </c>
    </row>
    <row r="9">
      <c r="C9" s="4" t="s">
        <v>75</v>
      </c>
    </row>
    <row r="12">
      <c r="C12" s="4" t="s">
        <v>76</v>
      </c>
    </row>
    <row r="14">
      <c r="C14" s="4" t="s">
        <v>77</v>
      </c>
    </row>
    <row r="15">
      <c r="C15" s="4" t="s">
        <v>78</v>
      </c>
    </row>
    <row r="16">
      <c r="C16" s="4" t="s">
        <v>79</v>
      </c>
    </row>
  </sheetData>
  <drawing r:id="rId1"/>
</worksheet>
</file>