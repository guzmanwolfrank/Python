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ccount 1" sheetId="2" state="visible" r:id="rId2"/>
    <sheet xmlns:r="http://schemas.openxmlformats.org/officeDocument/2006/relationships" name="Account 2" sheetId="3" state="visible" r:id="rId3"/>
    <sheet xmlns:r="http://schemas.openxmlformats.org/officeDocument/2006/relationships" name="Account 3" sheetId="4" state="visible" r:id="rId4"/>
    <sheet xmlns:r="http://schemas.openxmlformats.org/officeDocument/2006/relationships" name="Data Import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3" customWidth="1" min="4" max="4"/>
    <col width="20" customWidth="1" min="5" max="5"/>
    <col width="25" customWidth="1" min="6" max="6"/>
    <col width="22" customWidth="1" min="7" max="7"/>
    <col width="15" customWidth="1" min="8" max="8"/>
    <col width="12" customWidth="1" min="9" max="9"/>
    <col width="23" customWidth="1" min="10" max="10"/>
    <col width="13" customWidth="1" min="11" max="11"/>
    <col width="15" customWidth="1" min="12" max="12"/>
    <col width="12" customWidth="1" min="13" max="13"/>
    <col width="14" customWidth="1" min="14" max="14"/>
    <col width="14" customWidth="1" min="15" max="15"/>
    <col width="16" customWidth="1" min="16" max="16"/>
  </cols>
  <sheetData>
    <row r="1">
      <c r="A1" s="1" t="inlineStr">
        <is>
          <t>Apex Trading Accounts Overview</t>
        </is>
      </c>
    </row>
    <row r="3">
      <c r="A3" t="inlineStr">
        <is>
          <t>Last Updated:</t>
        </is>
      </c>
      <c r="B3" s="2" t="n">
        <v>45729.5058559234</v>
      </c>
    </row>
    <row r="5">
      <c r="A5" s="3" t="inlineStr">
        <is>
          <t>Account</t>
        </is>
      </c>
      <c r="B5" s="3" t="inlineStr">
        <is>
          <t>Current Balance</t>
        </is>
      </c>
      <c r="C5" s="3" t="inlineStr">
        <is>
          <t>Target Balance</t>
        </is>
      </c>
      <c r="D5" s="3" t="inlineStr">
        <is>
          <t>% to Target</t>
        </is>
      </c>
      <c r="E5" s="3" t="inlineStr">
        <is>
          <t>Trailing Threshold</t>
        </is>
      </c>
      <c r="F5" s="3" t="inlineStr">
        <is>
          <t>Distance from Threshold</t>
        </is>
      </c>
      <c r="G5" s="3" t="inlineStr">
        <is>
          <t>Largest Daily Profit</t>
        </is>
      </c>
      <c r="H5" s="3" t="inlineStr">
        <is>
          <t>Trailing High</t>
        </is>
      </c>
      <c r="I5" s="3" t="inlineStr">
        <is>
          <t>Status</t>
        </is>
      </c>
      <c r="J5" s="3" t="inlineStr">
        <is>
          <t>Auto Liquidate Status</t>
        </is>
      </c>
      <c r="K5" s="3" t="inlineStr">
        <is>
          <t>Days Traded</t>
        </is>
      </c>
      <c r="L5" s="3" t="inlineStr">
        <is>
          <t>Daily Avg P&amp;L</t>
        </is>
      </c>
      <c r="M5" s="3" t="inlineStr">
        <is>
          <t>Win %</t>
        </is>
      </c>
      <c r="N5" s="3" t="inlineStr">
        <is>
          <t>Total Trades</t>
        </is>
      </c>
      <c r="O5" s="3" t="inlineStr">
        <is>
          <t>Max Drawdown</t>
        </is>
      </c>
      <c r="P5" s="3" t="inlineStr">
        <is>
          <t>Max Drawdown %</t>
        </is>
      </c>
    </row>
    <row r="6">
      <c r="A6" t="inlineStr">
        <is>
          <t>Account 1</t>
        </is>
      </c>
      <c r="B6">
        <f>INDEX('Account 1'!C:C,2)</f>
        <v/>
      </c>
      <c r="C6">
        <f>B6*1.1</f>
        <v/>
      </c>
      <c r="D6" s="4">
        <f>B6/C6</f>
        <v/>
      </c>
      <c r="E6">
        <f>INDEX('Account 1'!E:E,2)</f>
        <v/>
      </c>
      <c r="F6">
        <f>B6-E6</f>
        <v/>
      </c>
      <c r="G6">
        <f>INDEX('Account 1'!M:M,2)</f>
        <v/>
      </c>
      <c r="H6">
        <f>INDEX('Account 1'!N:N,2)</f>
        <v/>
      </c>
      <c r="I6">
        <f>IF(F6&lt;0,"ALERT","Active")</f>
        <v/>
      </c>
      <c r="J6">
        <f>INDEX('Account 1'!O:O,2)</f>
        <v/>
      </c>
      <c r="K6">
        <f>COUNT('Account 1'!A:A)-1</f>
        <v/>
      </c>
      <c r="L6">
        <f>AVERAGE('Account 1'!B:B)</f>
        <v/>
      </c>
      <c r="M6">
        <f>INDEX('Account 1'!U:U,2)</f>
        <v/>
      </c>
      <c r="N6">
        <f>INDEX('Account 1'!R:R,2)</f>
        <v/>
      </c>
      <c r="O6">
        <f>INDEX('Account 1'!Y:Y,2)</f>
        <v/>
      </c>
      <c r="P6">
        <f>INDEX('Account 1'!Z:Z,2)</f>
        <v/>
      </c>
    </row>
    <row r="7">
      <c r="A7" t="inlineStr">
        <is>
          <t>Account 2</t>
        </is>
      </c>
      <c r="B7">
        <f>INDEX('Account 2'!C:C,2)</f>
        <v/>
      </c>
      <c r="C7">
        <f>B7*1.1</f>
        <v/>
      </c>
      <c r="D7" s="4">
        <f>B7/C7</f>
        <v/>
      </c>
      <c r="E7">
        <f>INDEX('Account 2'!E:E,2)</f>
        <v/>
      </c>
      <c r="F7">
        <f>B7-E7</f>
        <v/>
      </c>
      <c r="G7">
        <f>INDEX('Account 2'!M:M,2)</f>
        <v/>
      </c>
      <c r="H7">
        <f>INDEX('Account 2'!N:N,2)</f>
        <v/>
      </c>
      <c r="I7">
        <f>IF(F7&lt;0,"ALERT","Active")</f>
        <v/>
      </c>
      <c r="J7">
        <f>INDEX('Account 2'!O:O,2)</f>
        <v/>
      </c>
      <c r="K7">
        <f>COUNT('Account 2'!A:A)-1</f>
        <v/>
      </c>
      <c r="L7">
        <f>AVERAGE('Account 2'!B:B)</f>
        <v/>
      </c>
      <c r="M7">
        <f>INDEX('Account 2'!U:U,2)</f>
        <v/>
      </c>
      <c r="N7">
        <f>INDEX('Account 2'!R:R,2)</f>
        <v/>
      </c>
      <c r="O7">
        <f>INDEX('Account 2'!Y:Y,2)</f>
        <v/>
      </c>
      <c r="P7">
        <f>INDEX('Account 2'!Z:Z,2)</f>
        <v/>
      </c>
    </row>
    <row r="8">
      <c r="A8" t="inlineStr">
        <is>
          <t>Account 3</t>
        </is>
      </c>
      <c r="B8">
        <f>INDEX('Account 3'!C:C,2)</f>
        <v/>
      </c>
      <c r="C8">
        <f>B8*1.1</f>
        <v/>
      </c>
      <c r="D8" s="4">
        <f>B8/C8</f>
        <v/>
      </c>
      <c r="E8">
        <f>INDEX('Account 3'!E:E,2)</f>
        <v/>
      </c>
      <c r="F8">
        <f>B8-E8</f>
        <v/>
      </c>
      <c r="G8">
        <f>INDEX('Account 3'!M:M,2)</f>
        <v/>
      </c>
      <c r="H8">
        <f>INDEX('Account 3'!N:N,2)</f>
        <v/>
      </c>
      <c r="I8">
        <f>IF(F8&lt;0,"ALERT","Active")</f>
        <v/>
      </c>
      <c r="J8">
        <f>INDEX('Account 3'!O:O,2)</f>
        <v/>
      </c>
      <c r="K8">
        <f>COUNT('Account 3'!A:A)-1</f>
        <v/>
      </c>
      <c r="L8">
        <f>AVERAGE('Account 3'!B:B)</f>
        <v/>
      </c>
      <c r="M8">
        <f>INDEX('Account 3'!U:U,2)</f>
        <v/>
      </c>
      <c r="N8">
        <f>INDEX('Account 3'!R:R,2)</f>
        <v/>
      </c>
      <c r="O8">
        <f>INDEX('Account 3'!Y:Y,2)</f>
        <v/>
      </c>
      <c r="P8">
        <f>INDEX('Account 3'!Z:Z,2)</f>
        <v/>
      </c>
    </row>
  </sheetData>
  <mergeCells count="1">
    <mergeCell ref="A1:P1"/>
  </mergeCells>
  <conditionalFormatting sqref="I6:I8">
    <cfRule type="cellIs" priority="1" operator="equal" dxfId="0">
      <formula>"ALERT"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26" customWidth="1" min="5" max="5"/>
    <col width="12" customWidth="1" min="6" max="6"/>
    <col width="17" customWidth="1" min="7" max="7"/>
    <col width="18" customWidth="1" min="8" max="8"/>
    <col width="14" customWidth="1" min="9" max="9"/>
    <col width="15" customWidth="1" min="10" max="10"/>
    <col width="14" customWidth="1" min="11" max="11"/>
    <col width="19" customWidth="1" min="12" max="12"/>
    <col width="18" customWidth="1" min="13" max="13"/>
    <col width="23" customWidth="1" min="14" max="14"/>
    <col width="23" customWidth="1" min="15" max="15"/>
    <col width="13" customWidth="1" min="18" max="18"/>
    <col width="16" customWidth="1" min="19" max="19"/>
    <col width="15" customWidth="1" min="20" max="20"/>
    <col width="12" customWidth="1" min="21" max="21"/>
    <col width="12" customWidth="1" min="22" max="22"/>
    <col width="18" customWidth="1" min="23" max="23"/>
    <col width="13" customWidth="1" min="24" max="24"/>
    <col width="14" customWidth="1" min="25" max="25"/>
    <col width="16" customWidth="1" min="26" max="26"/>
  </cols>
  <sheetData>
    <row r="1">
      <c r="A1" s="5" t="inlineStr">
        <is>
          <t>Account Details: Account 1</t>
        </is>
      </c>
      <c r="F1" s="6" t="inlineStr">
        <is>
          <t>Starting Balance: $XX,XXX</t>
        </is>
      </c>
    </row>
    <row r="3">
      <c r="A3" s="3" t="inlineStr">
        <is>
          <t>Date</t>
        </is>
      </c>
      <c r="B3" s="3" t="inlineStr">
        <is>
          <t>Daily P&amp;L</t>
        </is>
      </c>
      <c r="C3" s="3" t="inlineStr">
        <is>
          <t>Account Balance</t>
        </is>
      </c>
      <c r="D3" s="3" t="inlineStr">
        <is>
          <t>Commission</t>
        </is>
      </c>
      <c r="E3" s="3" t="inlineStr">
        <is>
          <t>Auto Liquidate Threshold</t>
        </is>
      </c>
      <c r="F3" s="3" t="inlineStr">
        <is>
          <t>Open P/L</t>
        </is>
      </c>
      <c r="G3" s="3" t="inlineStr">
        <is>
          <t>Working Buy Qty</t>
        </is>
      </c>
      <c r="H3" s="3" t="inlineStr">
        <is>
          <t>Working Sell Qty</t>
        </is>
      </c>
      <c r="I3" s="3" t="inlineStr">
        <is>
          <t>Fill Buy Qty</t>
        </is>
      </c>
      <c r="J3" s="3" t="inlineStr">
        <is>
          <t>Fill Sell Qty</t>
        </is>
      </c>
      <c r="K3" s="3" t="inlineStr">
        <is>
          <t>Net Position</t>
        </is>
      </c>
      <c r="L3" s="3" t="inlineStr">
        <is>
          <t>Peak Balance Time</t>
        </is>
      </c>
      <c r="M3" s="3" t="inlineStr">
        <is>
          <t>Daily Max Profit</t>
        </is>
      </c>
      <c r="N3" s="3" t="inlineStr">
        <is>
          <t>Trailing High Balance</t>
        </is>
      </c>
      <c r="O3" s="3" t="inlineStr">
        <is>
          <t>Auto Liquidate Status</t>
        </is>
      </c>
      <c r="Q3" s="7" t="inlineStr">
        <is>
          <t>--- Performance Metrics ---</t>
        </is>
      </c>
      <c r="R3" s="3" t="inlineStr">
        <is>
          <t>Trade Count</t>
        </is>
      </c>
      <c r="S3" s="3" t="inlineStr">
        <is>
          <t>Winning Trades</t>
        </is>
      </c>
      <c r="T3" s="3" t="inlineStr">
        <is>
          <t>Losing Trades</t>
        </is>
      </c>
      <c r="U3" s="3" t="inlineStr">
        <is>
          <t>Win %</t>
        </is>
      </c>
      <c r="V3" s="3" t="inlineStr">
        <is>
          <t>Lose %</t>
        </is>
      </c>
      <c r="W3" s="3" t="inlineStr">
        <is>
          <t>Scratched Trades</t>
        </is>
      </c>
      <c r="X3" s="3" t="inlineStr">
        <is>
          <t>Scratched %</t>
        </is>
      </c>
      <c r="Y3" s="3" t="inlineStr">
        <is>
          <t>Max Drawdown</t>
        </is>
      </c>
      <c r="Z3" s="3" t="inlineStr">
        <is>
          <t>Max Drawdown %</t>
        </is>
      </c>
    </row>
    <row r="4">
      <c r="A4" s="2" t="n">
        <v>45729.5058559465</v>
      </c>
      <c r="B4" t="n">
        <v>0</v>
      </c>
      <c r="C4" t="n">
        <v>100000</v>
      </c>
    </row>
    <row r="30">
      <c r="B30" t="inlineStr">
        <is>
          <t>Balance Chart will appear here</t>
        </is>
      </c>
      <c r="J30" t="inlineStr">
        <is>
          <t>P&amp;L Chart will appear here</t>
        </is>
      </c>
    </row>
    <row r="40">
      <c r="S40" t="inlineStr">
        <is>
          <t>Win/Loss Ratio Chart will appear here</t>
        </is>
      </c>
    </row>
    <row r="50">
      <c r="S50" t="inlineStr">
        <is>
          <t>Drawdown History Chart will appear here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26" customWidth="1" min="5" max="5"/>
    <col width="12" customWidth="1" min="6" max="6"/>
    <col width="17" customWidth="1" min="7" max="7"/>
    <col width="18" customWidth="1" min="8" max="8"/>
    <col width="14" customWidth="1" min="9" max="9"/>
    <col width="15" customWidth="1" min="10" max="10"/>
    <col width="14" customWidth="1" min="11" max="11"/>
    <col width="19" customWidth="1" min="12" max="12"/>
    <col width="18" customWidth="1" min="13" max="13"/>
    <col width="23" customWidth="1" min="14" max="14"/>
    <col width="23" customWidth="1" min="15" max="15"/>
    <col width="13" customWidth="1" min="18" max="18"/>
    <col width="16" customWidth="1" min="19" max="19"/>
    <col width="15" customWidth="1" min="20" max="20"/>
    <col width="12" customWidth="1" min="21" max="21"/>
    <col width="12" customWidth="1" min="22" max="22"/>
    <col width="18" customWidth="1" min="23" max="23"/>
    <col width="13" customWidth="1" min="24" max="24"/>
    <col width="14" customWidth="1" min="25" max="25"/>
    <col width="16" customWidth="1" min="26" max="26"/>
  </cols>
  <sheetData>
    <row r="1">
      <c r="A1" s="5" t="inlineStr">
        <is>
          <t>Account Details: Account 2</t>
        </is>
      </c>
      <c r="F1" s="6" t="inlineStr">
        <is>
          <t>Starting Balance: $XX,XXX</t>
        </is>
      </c>
    </row>
    <row r="3">
      <c r="A3" s="3" t="inlineStr">
        <is>
          <t>Date</t>
        </is>
      </c>
      <c r="B3" s="3" t="inlineStr">
        <is>
          <t>Daily P&amp;L</t>
        </is>
      </c>
      <c r="C3" s="3" t="inlineStr">
        <is>
          <t>Account Balance</t>
        </is>
      </c>
      <c r="D3" s="3" t="inlineStr">
        <is>
          <t>Commission</t>
        </is>
      </c>
      <c r="E3" s="3" t="inlineStr">
        <is>
          <t>Auto Liquidate Threshold</t>
        </is>
      </c>
      <c r="F3" s="3" t="inlineStr">
        <is>
          <t>Open P/L</t>
        </is>
      </c>
      <c r="G3" s="3" t="inlineStr">
        <is>
          <t>Working Buy Qty</t>
        </is>
      </c>
      <c r="H3" s="3" t="inlineStr">
        <is>
          <t>Working Sell Qty</t>
        </is>
      </c>
      <c r="I3" s="3" t="inlineStr">
        <is>
          <t>Fill Buy Qty</t>
        </is>
      </c>
      <c r="J3" s="3" t="inlineStr">
        <is>
          <t>Fill Sell Qty</t>
        </is>
      </c>
      <c r="K3" s="3" t="inlineStr">
        <is>
          <t>Net Position</t>
        </is>
      </c>
      <c r="L3" s="3" t="inlineStr">
        <is>
          <t>Peak Balance Time</t>
        </is>
      </c>
      <c r="M3" s="3" t="inlineStr">
        <is>
          <t>Daily Max Profit</t>
        </is>
      </c>
      <c r="N3" s="3" t="inlineStr">
        <is>
          <t>Trailing High Balance</t>
        </is>
      </c>
      <c r="O3" s="3" t="inlineStr">
        <is>
          <t>Auto Liquidate Status</t>
        </is>
      </c>
      <c r="Q3" s="7" t="inlineStr">
        <is>
          <t>--- Performance Metrics ---</t>
        </is>
      </c>
      <c r="R3" s="3" t="inlineStr">
        <is>
          <t>Trade Count</t>
        </is>
      </c>
      <c r="S3" s="3" t="inlineStr">
        <is>
          <t>Winning Trades</t>
        </is>
      </c>
      <c r="T3" s="3" t="inlineStr">
        <is>
          <t>Losing Trades</t>
        </is>
      </c>
      <c r="U3" s="3" t="inlineStr">
        <is>
          <t>Win %</t>
        </is>
      </c>
      <c r="V3" s="3" t="inlineStr">
        <is>
          <t>Lose %</t>
        </is>
      </c>
      <c r="W3" s="3" t="inlineStr">
        <is>
          <t>Scratched Trades</t>
        </is>
      </c>
      <c r="X3" s="3" t="inlineStr">
        <is>
          <t>Scratched %</t>
        </is>
      </c>
      <c r="Y3" s="3" t="inlineStr">
        <is>
          <t>Max Drawdown</t>
        </is>
      </c>
      <c r="Z3" s="3" t="inlineStr">
        <is>
          <t>Max Drawdown %</t>
        </is>
      </c>
    </row>
    <row r="4">
      <c r="A4" s="2" t="n">
        <v>45729.50585595237</v>
      </c>
      <c r="B4" t="n">
        <v>0</v>
      </c>
      <c r="C4" t="n">
        <v>100000</v>
      </c>
    </row>
    <row r="30">
      <c r="B30" t="inlineStr">
        <is>
          <t>Balance Chart will appear here</t>
        </is>
      </c>
      <c r="J30" t="inlineStr">
        <is>
          <t>P&amp;L Chart will appear here</t>
        </is>
      </c>
    </row>
    <row r="40">
      <c r="S40" t="inlineStr">
        <is>
          <t>Win/Loss Ratio Chart will appear here</t>
        </is>
      </c>
    </row>
    <row r="50">
      <c r="S50" t="inlineStr">
        <is>
          <t>Drawdown History Chart will appear here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26" customWidth="1" min="5" max="5"/>
    <col width="12" customWidth="1" min="6" max="6"/>
    <col width="17" customWidth="1" min="7" max="7"/>
    <col width="18" customWidth="1" min="8" max="8"/>
    <col width="14" customWidth="1" min="9" max="9"/>
    <col width="15" customWidth="1" min="10" max="10"/>
    <col width="14" customWidth="1" min="11" max="11"/>
    <col width="19" customWidth="1" min="12" max="12"/>
    <col width="18" customWidth="1" min="13" max="13"/>
    <col width="23" customWidth="1" min="14" max="14"/>
    <col width="23" customWidth="1" min="15" max="15"/>
    <col width="13" customWidth="1" min="18" max="18"/>
    <col width="16" customWidth="1" min="19" max="19"/>
    <col width="15" customWidth="1" min="20" max="20"/>
    <col width="12" customWidth="1" min="21" max="21"/>
    <col width="12" customWidth="1" min="22" max="22"/>
    <col width="18" customWidth="1" min="23" max="23"/>
    <col width="13" customWidth="1" min="24" max="24"/>
    <col width="14" customWidth="1" min="25" max="25"/>
    <col width="16" customWidth="1" min="26" max="26"/>
  </cols>
  <sheetData>
    <row r="1">
      <c r="A1" s="5" t="inlineStr">
        <is>
          <t>Account Details: Account 3</t>
        </is>
      </c>
      <c r="F1" s="6" t="inlineStr">
        <is>
          <t>Starting Balance: $XX,XXX</t>
        </is>
      </c>
    </row>
    <row r="3">
      <c r="A3" s="3" t="inlineStr">
        <is>
          <t>Date</t>
        </is>
      </c>
      <c r="B3" s="3" t="inlineStr">
        <is>
          <t>Daily P&amp;L</t>
        </is>
      </c>
      <c r="C3" s="3" t="inlineStr">
        <is>
          <t>Account Balance</t>
        </is>
      </c>
      <c r="D3" s="3" t="inlineStr">
        <is>
          <t>Commission</t>
        </is>
      </c>
      <c r="E3" s="3" t="inlineStr">
        <is>
          <t>Auto Liquidate Threshold</t>
        </is>
      </c>
      <c r="F3" s="3" t="inlineStr">
        <is>
          <t>Open P/L</t>
        </is>
      </c>
      <c r="G3" s="3" t="inlineStr">
        <is>
          <t>Working Buy Qty</t>
        </is>
      </c>
      <c r="H3" s="3" t="inlineStr">
        <is>
          <t>Working Sell Qty</t>
        </is>
      </c>
      <c r="I3" s="3" t="inlineStr">
        <is>
          <t>Fill Buy Qty</t>
        </is>
      </c>
      <c r="J3" s="3" t="inlineStr">
        <is>
          <t>Fill Sell Qty</t>
        </is>
      </c>
      <c r="K3" s="3" t="inlineStr">
        <is>
          <t>Net Position</t>
        </is>
      </c>
      <c r="L3" s="3" t="inlineStr">
        <is>
          <t>Peak Balance Time</t>
        </is>
      </c>
      <c r="M3" s="3" t="inlineStr">
        <is>
          <t>Daily Max Profit</t>
        </is>
      </c>
      <c r="N3" s="3" t="inlineStr">
        <is>
          <t>Trailing High Balance</t>
        </is>
      </c>
      <c r="O3" s="3" t="inlineStr">
        <is>
          <t>Auto Liquidate Status</t>
        </is>
      </c>
      <c r="Q3" s="7" t="inlineStr">
        <is>
          <t>--- Performance Metrics ---</t>
        </is>
      </c>
      <c r="R3" s="3" t="inlineStr">
        <is>
          <t>Trade Count</t>
        </is>
      </c>
      <c r="S3" s="3" t="inlineStr">
        <is>
          <t>Winning Trades</t>
        </is>
      </c>
      <c r="T3" s="3" t="inlineStr">
        <is>
          <t>Losing Trades</t>
        </is>
      </c>
      <c r="U3" s="3" t="inlineStr">
        <is>
          <t>Win %</t>
        </is>
      </c>
      <c r="V3" s="3" t="inlineStr">
        <is>
          <t>Lose %</t>
        </is>
      </c>
      <c r="W3" s="3" t="inlineStr">
        <is>
          <t>Scratched Trades</t>
        </is>
      </c>
      <c r="X3" s="3" t="inlineStr">
        <is>
          <t>Scratched %</t>
        </is>
      </c>
      <c r="Y3" s="3" t="inlineStr">
        <is>
          <t>Max Drawdown</t>
        </is>
      </c>
      <c r="Z3" s="3" t="inlineStr">
        <is>
          <t>Max Drawdown %</t>
        </is>
      </c>
    </row>
    <row r="4">
      <c r="A4" s="2" t="n">
        <v>45729.50585596984</v>
      </c>
      <c r="B4" t="n">
        <v>0</v>
      </c>
      <c r="C4" t="n">
        <v>100000</v>
      </c>
    </row>
    <row r="30">
      <c r="B30" t="inlineStr">
        <is>
          <t>Balance Chart will appear here</t>
        </is>
      </c>
      <c r="J30" t="inlineStr">
        <is>
          <t>P&amp;L Chart will appear here</t>
        </is>
      </c>
    </row>
    <row r="40">
      <c r="S40" t="inlineStr">
        <is>
          <t>Win/Loss Ratio Chart will appear here</t>
        </is>
      </c>
    </row>
    <row r="50">
      <c r="S50" t="inlineStr">
        <is>
          <t>Drawdown History Chart will appear here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Data Import Center</t>
        </is>
      </c>
    </row>
    <row r="3">
      <c r="A3" s="8" t="inlineStr">
        <is>
          <t>Rithmic Dashboard Data Import</t>
        </is>
      </c>
      <c r="E3" t="inlineStr">
        <is>
          <t>Select Account:</t>
        </is>
      </c>
    </row>
    <row r="4">
      <c r="A4" t="inlineStr">
        <is>
          <t>Instructions:</t>
        </is>
      </c>
    </row>
    <row r="5">
      <c r="A5" t="inlineStr">
        <is>
          <t>1. Copy data from Rithmic dashboard CSV and paste in cell A8</t>
        </is>
      </c>
      <c r="E5" t="inlineStr">
        <is>
          <t>Update Dashboard Data</t>
        </is>
      </c>
    </row>
    <row r="6">
      <c r="A6" t="inlineStr">
        <is>
          <t>2. Select the account tab to update from dropdown</t>
        </is>
      </c>
    </row>
    <row r="7">
      <c r="A7" t="inlineStr">
        <is>
          <t>3. Click 'Update Dashboard Data' button</t>
        </is>
      </c>
    </row>
    <row r="25">
      <c r="A25" s="8" t="inlineStr">
        <is>
          <t>Rithmic Performance Data Import</t>
        </is>
      </c>
    </row>
    <row r="26">
      <c r="A26" t="inlineStr">
        <is>
          <t>Instructions:</t>
        </is>
      </c>
      <c r="E26" t="inlineStr">
        <is>
          <t>Select Account:</t>
        </is>
      </c>
    </row>
    <row r="27">
      <c r="A27" t="inlineStr">
        <is>
          <t>1. Copy data from Rithmic Performance CSV and paste in cell A30</t>
        </is>
      </c>
    </row>
    <row r="28">
      <c r="A28" t="inlineStr">
        <is>
          <t>2. Select the account tab to update from dropdown</t>
        </is>
      </c>
      <c r="E28" t="inlineStr">
        <is>
          <t>Update Performance Data</t>
        </is>
      </c>
    </row>
    <row r="29">
      <c r="A29" t="inlineStr">
        <is>
          <t>3. Click 'Update Performance Data' button</t>
        </is>
      </c>
    </row>
  </sheetData>
  <dataValidations count="2">
    <dataValidation sqref="F3" showDropDown="0" showInputMessage="0" showErrorMessage="0" allowBlank="0" type="list">
      <formula1>"Account 1,Account 2,Account 3"</formula1>
    </dataValidation>
    <dataValidation sqref="F26" showDropDown="0" showInputMessage="0" showErrorMessage="0" allowBlank="0" type="list">
      <formula1>"Account 1,Account 2,Account 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Account Settings</t>
        </is>
      </c>
    </row>
    <row r="3">
      <c r="A3" t="inlineStr">
        <is>
          <t>Target Profit Percentage:</t>
        </is>
      </c>
      <c r="B3" s="9" t="n">
        <v>0.1</v>
      </c>
      <c r="D3" t="inlineStr">
        <is>
          <t>Auto-refresh Dashboard:</t>
        </is>
      </c>
      <c r="E3" t="inlineStr">
        <is>
          <t>NO</t>
        </is>
      </c>
    </row>
    <row r="5">
      <c r="A5" t="inlineStr">
        <is>
          <t>Account Names:</t>
        </is>
      </c>
      <c r="D5" t="inlineStr">
        <is>
          <t>Date Format:</t>
        </is>
      </c>
      <c r="E5" t="inlineStr">
        <is>
          <t>MM/DD/YYYY</t>
        </is>
      </c>
    </row>
    <row r="6">
      <c r="A6" t="inlineStr">
        <is>
          <t>Account 1</t>
        </is>
      </c>
    </row>
    <row r="7">
      <c r="A7" t="inlineStr">
        <is>
          <t>Account 2</t>
        </is>
      </c>
    </row>
    <row r="8">
      <c r="A8" t="inlineStr">
        <is>
          <t>Account 3</t>
        </is>
      </c>
    </row>
    <row r="10">
      <c r="A10" s="7" t="inlineStr">
        <is>
          <t>Threshold Alert Settings:</t>
        </is>
      </c>
    </row>
    <row r="11">
      <c r="A11" t="inlineStr">
        <is>
          <t>Email Alert When Approaching Threshold:</t>
        </is>
      </c>
      <c r="B11" t="inlineStr">
        <is>
          <t>NO</t>
        </is>
      </c>
    </row>
    <row r="12">
      <c r="A12" t="inlineStr">
        <is>
          <t>Alert Distance:</t>
        </is>
      </c>
      <c r="B12" s="9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2025-03-13T16:08:25Z</dcterms:created>
  <dcterms:modified xmlns:dcterms="http://purl.org/dc/terms/" xmlns:xsi="http://www.w3.org/2001/XMLSchema-instance" xsi:type="dcterms:W3CDTF">2025-03-13T16:08:25Z</dcterms:modified>
</cp:coreProperties>
</file>